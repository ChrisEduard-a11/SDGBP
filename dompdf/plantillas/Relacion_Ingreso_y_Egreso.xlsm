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SistemaProyecto\dompdf\plantillas\"/>
    </mc:Choice>
  </mc:AlternateContent>
  <xr:revisionPtr revIDLastSave="0" documentId="13_ncr:1_{B6D5F66D-6834-4ACD-8126-83EFD85297D3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esumen" sheetId="1" r:id="rId1"/>
    <sheet name="03-02-2025" sheetId="2" r:id="rId2"/>
    <sheet name="Estructura de Costos" sheetId="3" r:id="rId3"/>
  </sheets>
  <definedNames>
    <definedName name="_xlnm.Print_Area" localSheetId="0">Resumen!$A$1:$H$44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1" l="1"/>
  <c r="E37" i="1"/>
  <c r="C16" i="3"/>
  <c r="C22" i="3" s="1"/>
  <c r="C15" i="3"/>
  <c r="C9" i="3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5" i="2"/>
  <c r="C20" i="3" l="1"/>
  <c r="C21" i="3"/>
  <c r="H37" i="2"/>
  <c r="G37" i="1" l="1"/>
</calcChain>
</file>

<file path=xl/sharedStrings.xml><?xml version="1.0" encoding="utf-8"?>
<sst xmlns="http://schemas.openxmlformats.org/spreadsheetml/2006/main" count="56" uniqueCount="55">
  <si>
    <t>DETALLE</t>
  </si>
  <si>
    <t>FECHA</t>
  </si>
  <si>
    <t>REFERENCIA</t>
  </si>
  <si>
    <t>ENTRADA</t>
  </si>
  <si>
    <t>SALIDA</t>
  </si>
  <si>
    <t>SALDO</t>
  </si>
  <si>
    <t>DESCRIPCION</t>
  </si>
  <si>
    <t xml:space="preserve">FECHA </t>
  </si>
  <si>
    <t>ENTRADAS</t>
  </si>
  <si>
    <t>SALIDAS</t>
  </si>
  <si>
    <t>CARGOS BANCO</t>
  </si>
  <si>
    <t>REFERENCIA O LOTE</t>
  </si>
  <si>
    <t>ADMINISTRADOR EURIPYS 2024, CA</t>
  </si>
  <si>
    <t>ADMINISTRADOR UPU xxxx</t>
  </si>
  <si>
    <t>TOTAL</t>
  </si>
  <si>
    <t>UNIDAD DE PRODUCIÓN UNIVERSITARIA DE TECNOLOGIA</t>
  </si>
  <si>
    <t>REGISTRO DE INGRESO Y EGRESO TECNOLOGIA</t>
  </si>
  <si>
    <t>Coordinador de la UPU</t>
  </si>
  <si>
    <t>Ing. Ezequiel Colina</t>
  </si>
  <si>
    <t>Responsable por EURIPYS 2024 C.A.</t>
  </si>
  <si>
    <t>Total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</si>
  <si>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</si>
  <si>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</si>
  <si>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</si>
  <si>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</si>
  <si>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</si>
  <si>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</si>
  <si>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</si>
  <si>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</si>
  <si>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</si>
  <si>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</si>
  <si>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</si>
  <si>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</si>
  <si>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Diciembre_2024</t>
  </si>
  <si>
    <t>Noviembre_2024</t>
  </si>
  <si>
    <t>Octubre_2024</t>
  </si>
  <si>
    <t>CLIENTE</t>
  </si>
  <si>
    <t>Unidad de Producción de Tecnología</t>
  </si>
  <si>
    <t>Presupuesto 2025 Bs. ENERO - MARZO</t>
  </si>
  <si>
    <t>INGRESOS POR CONCEPTO DE INTERNET ENERO</t>
  </si>
  <si>
    <t>INGRESOS POR CONCEPTO DE INTERNET FEBRERO</t>
  </si>
  <si>
    <t>TOTAL INGRESOS</t>
  </si>
  <si>
    <t>EGRESOS</t>
  </si>
  <si>
    <t>PAGO DE SERVICIO PROVEEDOR DE INTERNET</t>
  </si>
  <si>
    <t>INCENTIVOS AL PERSONAL</t>
  </si>
  <si>
    <t>MATERIALES Y SUMINISTROS</t>
  </si>
  <si>
    <t>SOLICITUDES A EURIPYS C.A.</t>
  </si>
  <si>
    <t>TOTAL EGRESOS</t>
  </si>
  <si>
    <t>UTILIDAD</t>
  </si>
  <si>
    <t>USOS DE LA UTILIDAD SEGÚN ACTA CONSTITUTIVA EURIPYS C.A.</t>
  </si>
  <si>
    <t>MONTOS</t>
  </si>
  <si>
    <t>5% FONDO DE RESERVA LEGAL EURIPYS C.A.</t>
  </si>
  <si>
    <t>40% DE REINVERSIÓN INDUSTRIAL Y CONSOLIDACIÓN DE LA SOCIEDAD</t>
  </si>
  <si>
    <t>55% BENEFICIO DE LA UPTAG</t>
  </si>
  <si>
    <t>Nombre de la UPU: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</si>
</sst>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Bs.S&quot;* #,##0.00_ ;_ &quot;Bs.S&quot;* \-#,##0.00_ ;_ &quot;Bs.S&quot;* &quot;-&quot;??_ ;_ @_ "/>
    <numFmt numFmtId="164" formatCode="_ [$Bs.S-200A]* #,##0.00_ ;_ [$Bs.S-200A]* \-#,##0.00_ ;_ [$Bs.S-200A]* &quot;-&quot;??_ ;_ @_ "/>
    <numFmt numFmtId="165" formatCode="_-[$$-540A]* #,##0.00_ ;_-[$$-540A]* \-#,##0.00\ ;_-[$$-540A]* &quot;-&quot;??_ ;_-@_ 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92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2" fontId="4" fillId="0" borderId="1" xfId="0" applyNumberFormat="1" applyFont="1" applyBorder="1" applyAlignment="1">
      <alignment horizontal="right"/>
    </xf>
    <xf numFmtId="2" fontId="0" fillId="0" borderId="1" xfId="0" applyNumberFormat="1" applyBorder="1"/>
    <xf numFmtId="2" fontId="0" fillId="0" borderId="1" xfId="0" applyNumberFormat="1" applyBorder="1" applyAlignment="1">
      <alignment horizontal="right"/>
    </xf>
    <xf numFmtId="4" fontId="0" fillId="0" borderId="1" xfId="0" applyNumberFormat="1" applyBorder="1"/>
    <xf numFmtId="2" fontId="2" fillId="0" borderId="1" xfId="0" applyNumberFormat="1" applyFont="1" applyBorder="1" applyAlignment="1">
      <alignment horizontal="right"/>
    </xf>
    <xf numFmtId="4" fontId="2" fillId="0" borderId="1" xfId="0" applyNumberFormat="1" applyFont="1" applyBorder="1"/>
    <xf numFmtId="0" fontId="4" fillId="0" borderId="0" xfId="0" applyFont="1"/>
    <xf numFmtId="2" fontId="0" fillId="0" borderId="1" xfId="0" applyNumberFormat="1" applyBorder="1" applyAlignment="1">
      <alignment horizontal="center"/>
    </xf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2" fontId="2" fillId="0" borderId="0" xfId="0" applyNumberFormat="1" applyFont="1"/>
    <xf numFmtId="0" fontId="2" fillId="0" borderId="0" xfId="0" applyFont="1"/>
    <xf numFmtId="4" fontId="0" fillId="0" borderId="0" xfId="0" applyNumberFormat="1"/>
    <xf numFmtId="4" fontId="2" fillId="0" borderId="0" xfId="0" applyNumberFormat="1" applyFont="1"/>
    <xf numFmtId="0" fontId="2" fillId="3" borderId="0" xfId="0" applyFont="1" applyFill="1" applyAlignment="1">
      <alignment horizontal="center"/>
    </xf>
    <xf numFmtId="4" fontId="2" fillId="3" borderId="0" xfId="0" applyNumberFormat="1" applyFont="1" applyFill="1"/>
    <xf numFmtId="0" fontId="2" fillId="3" borderId="0" xfId="0" applyFont="1" applyFill="1"/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3" borderId="0" xfId="0" applyFill="1"/>
    <xf numFmtId="4" fontId="0" fillId="3" borderId="0" xfId="0" applyNumberFormat="1" applyFill="1"/>
    <xf numFmtId="49" fontId="0" fillId="0" borderId="1" xfId="0" applyNumberFormat="1" applyBorder="1" applyAlignment="1">
      <alignment horizontal="center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right"/>
    </xf>
    <xf numFmtId="2" fontId="5" fillId="0" borderId="1" xfId="0" applyNumberFormat="1" applyFont="1" applyBorder="1"/>
    <xf numFmtId="2" fontId="8" fillId="0" borderId="1" xfId="0" applyNumberFormat="1" applyFont="1" applyBorder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2" fontId="10" fillId="0" borderId="6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/>
    </xf>
    <xf numFmtId="4" fontId="12" fillId="0" borderId="1" xfId="0" applyNumberFormat="1" applyFont="1" applyBorder="1" applyAlignment="1">
      <alignment horizontal="right" vertical="center"/>
    </xf>
    <xf numFmtId="4" fontId="10" fillId="3" borderId="6" xfId="0" applyNumberFormat="1" applyFont="1" applyFill="1" applyBorder="1"/>
    <xf numFmtId="17" fontId="0" fillId="0" borderId="0" xfId="0" applyNumberFormat="1"/>
    <xf numFmtId="0" fontId="14" fillId="4" borderId="8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15" fillId="0" borderId="10" xfId="0" applyFont="1" applyBorder="1"/>
    <xf numFmtId="164" fontId="15" fillId="0" borderId="11" xfId="0" applyNumberFormat="1" applyFont="1" applyBorder="1"/>
    <xf numFmtId="0" fontId="9" fillId="0" borderId="12" xfId="0" applyFont="1" applyBorder="1" applyAlignment="1">
      <alignment horizontal="right"/>
    </xf>
    <xf numFmtId="164" fontId="15" fillId="0" borderId="13" xfId="0" applyNumberFormat="1" applyFont="1" applyBorder="1"/>
    <xf numFmtId="0" fontId="15" fillId="0" borderId="12" xfId="0" applyFont="1" applyBorder="1"/>
    <xf numFmtId="0" fontId="9" fillId="0" borderId="14" xfId="0" applyFont="1" applyBorder="1" applyAlignment="1">
      <alignment horizontal="right"/>
    </xf>
    <xf numFmtId="164" fontId="15" fillId="0" borderId="15" xfId="0" applyNumberFormat="1" applyFont="1" applyBorder="1"/>
    <xf numFmtId="0" fontId="15" fillId="0" borderId="0" xfId="0" applyFont="1"/>
    <xf numFmtId="165" fontId="15" fillId="0" borderId="0" xfId="0" applyNumberFormat="1" applyFont="1"/>
    <xf numFmtId="0" fontId="9" fillId="4" borderId="8" xfId="0" applyFont="1" applyFill="1" applyBorder="1"/>
    <xf numFmtId="165" fontId="9" fillId="0" borderId="9" xfId="0" applyNumberFormat="1" applyFont="1" applyBorder="1" applyAlignment="1">
      <alignment horizontal="center"/>
    </xf>
    <xf numFmtId="44" fontId="15" fillId="0" borderId="11" xfId="1" applyFont="1" applyBorder="1"/>
    <xf numFmtId="44" fontId="15" fillId="0" borderId="13" xfId="1" applyFont="1" applyBorder="1"/>
    <xf numFmtId="9" fontId="10" fillId="0" borderId="14" xfId="0" applyNumberFormat="1" applyFont="1" applyBorder="1"/>
    <xf numFmtId="44" fontId="15" fillId="0" borderId="15" xfId="1" applyFont="1" applyBorder="1"/>
    <xf numFmtId="0" fontId="9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2" fontId="12" fillId="3" borderId="1" xfId="0" applyNumberFormat="1" applyFont="1" applyFill="1" applyBorder="1" applyAlignment="1">
      <alignment horizontal="center" vertical="center"/>
    </xf>
    <xf numFmtId="4" fontId="12" fillId="3" borderId="1" xfId="0" applyNumberFormat="1" applyFont="1" applyFill="1" applyBorder="1"/>
    <xf numFmtId="0" fontId="12" fillId="0" borderId="2" xfId="0" applyFont="1" applyBorder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" fontId="12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4" fontId="12" fillId="0" borderId="1" xfId="0" applyNumberFormat="1" applyFont="1" applyBorder="1"/>
    <xf numFmtId="0" fontId="16" fillId="5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Moneda" xfId="1" builtinId="4"/>
    <cellStyle name="Normal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42C89B-7E06-42FF-8D15-F7A08DCAA280}" name="Tabla1" displayName="Tabla1" ref="B4:H37" totalsRowCount="1" headerRowDxfId="18" dataDxfId="16" totalsRowDxfId="14" headerRowBorderDxfId="17" tableBorderDxfId="15" totalsRowBorderDxfId="13">
  <autoFilter ref="B4:H36" xr:uid="{9042C89B-7E06-42FF-8D15-F7A08DCAA280}"/>
  <tableColumns count="7">
    <tableColumn id="1" xr3:uid="{3D16DBF5-8828-4002-B6FD-2223CCD139E3}" name="DESCRIPCION" totalsRowLabel="Total" dataDxfId="12"/>
    <tableColumn id="2" xr3:uid="{3F149491-A98F-4A20-86C2-6A9A91249ECD}" name="FECHA " dataDxfId="11" totalsRowDxfId="10"/>
    <tableColumn id="3" xr3:uid="{A2F32615-251C-4A13-B344-689324919BA9}" name="REFERENCIA" dataDxfId="9" totalsRowDxfId="8"/>
    <tableColumn id="4" xr3:uid="{62CD99A4-9E78-47D0-A1E6-0C2EC5446B61}" name="ENTRADA" totalsRowFunction="sum" dataDxfId="7" totalsRowDxfId="6"/>
    <tableColumn id="5" xr3:uid="{ACA54AEF-6032-406F-9C7F-36E5B5EDA8B4}" name="SALIDA" totalsRowFunction="sum" dataDxfId="5" totalsRowDxfId="4"/>
    <tableColumn id="6" xr3:uid="{18440068-CAD9-428B-94BD-DE3E0A001F8A}" name="SALDO" totalsRowFunction="average" dataDxfId="3" totalsRowDxfId="2">
      <calculatedColumnFormula>(G4+E5)-F5</calculatedColumnFormula>
    </tableColumn>
    <tableColumn id="7" xr3:uid="{1DEA8E09-DED7-42AA-8ED7-88EF0F2FB6F2}" name="CLIENTE" dataDxfId="1" totalsRow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R42"/>
  <sheetViews>
    <sheetView tabSelected="1" view="pageBreakPreview" topLeftCell="A3" zoomScale="70" zoomScaleNormal="100" zoomScaleSheetLayoutView="70" workbookViewId="0">
      <selection activeCell="B1" sqref="B1:G1"/>
    </sheetView>
  </sheetViews>
  <sheetFormatPr baseColWidth="10" defaultRowHeight="15" x14ac:dyDescent="0.25"/>
  <cols>
    <col min="1" max="1" width="11.42578125" customWidth="1"/>
    <col min="2" max="2" width="28" style="38" bestFit="1" customWidth="1"/>
    <col min="3" max="3" width="19.42578125" style="38" bestFit="1" customWidth="1"/>
    <col min="4" max="4" width="26.5703125" style="38" bestFit="1" customWidth="1"/>
    <col min="5" max="5" width="22.5703125" style="38" bestFit="1" customWidth="1"/>
    <col min="6" max="6" width="19.42578125" style="38" customWidth="1"/>
    <col min="7" max="7" width="23.7109375" customWidth="1"/>
    <col min="8" max="8" width="45.7109375" style="38" bestFit="1" customWidth="1"/>
  </cols>
  <sheetData>
    <row r="1" spans="2:18" ht="15.75" x14ac:dyDescent="0.25">
      <c r="B1" s="82" t="s">
        <v>16</v>
      </c>
      <c r="C1" s="82"/>
      <c r="D1" s="82"/>
      <c r="E1" s="82"/>
      <c r="F1" s="82"/>
      <c r="G1" s="82"/>
    </row>
    <row r="2" spans="2:18" ht="15.75" x14ac:dyDescent="0.25">
      <c r="B2" s="81"/>
      <c r="C2" s="67"/>
      <c r="D2" s="67"/>
      <c r="E2" s="67"/>
      <c r="F2" s="67"/>
      <c r="G2" s="80" t="s">
        <v>54</v>
      </c>
      <c r="H2" s="68"/>
    </row>
    <row r="3" spans="2:18" x14ac:dyDescent="0.25">
      <c r="B3" s="39"/>
      <c r="C3" s="39"/>
      <c r="D3" s="39"/>
      <c r="E3" s="39"/>
      <c r="F3" s="39"/>
      <c r="G3" s="40"/>
    </row>
    <row r="4" spans="2:18" x14ac:dyDescent="0.25">
      <c r="B4" s="41" t="s">
        <v>6</v>
      </c>
      <c r="C4" s="42" t="s">
        <v>7</v>
      </c>
      <c r="D4" s="42" t="s">
        <v>2</v>
      </c>
      <c r="E4" s="42" t="s">
        <v>3</v>
      </c>
      <c r="F4" s="42" t="s">
        <v>4</v>
      </c>
      <c r="G4" s="46" t="s">
        <v>5</v>
      </c>
      <c r="H4" s="42" t="s">
        <v>36</v>
      </c>
    </row>
    <row r="5" spans="2:18" x14ac:dyDescent="0.25">
      <c r="B5" s="74"/>
      <c r="C5" s="75"/>
      <c r="D5" s="76"/>
      <c r="E5" s="77"/>
      <c r="F5" s="77"/>
      <c r="G5" s="47"/>
      <c r="H5" s="76"/>
    </row>
    <row r="6" spans="2:18" x14ac:dyDescent="0.25">
      <c r="B6" s="74"/>
      <c r="C6" s="75"/>
      <c r="D6" s="76"/>
      <c r="E6" s="78"/>
      <c r="F6" s="76"/>
      <c r="G6" s="79"/>
      <c r="H6" s="76"/>
      <c r="R6" t="s">
        <v>22</v>
      </c>
    </row>
    <row r="7" spans="2:18" x14ac:dyDescent="0.25">
      <c r="B7" s="74"/>
      <c r="C7" s="75"/>
      <c r="D7" s="76"/>
      <c r="E7" s="78"/>
      <c r="F7" s="76"/>
      <c r="G7" s="79"/>
      <c r="H7" s="76"/>
      <c r="R7" t="s">
        <v>21</v>
      </c>
    </row>
    <row r="8" spans="2:18" x14ac:dyDescent="0.25">
      <c r="B8" s="69"/>
      <c r="C8" s="70"/>
      <c r="D8" s="71"/>
      <c r="E8" s="72"/>
      <c r="F8" s="71"/>
      <c r="G8" s="73"/>
      <c r="H8" s="71"/>
      <c r="R8" t="s">
        <v>23</v>
      </c>
    </row>
    <row r="9" spans="2:18" x14ac:dyDescent="0.25">
      <c r="B9" s="69"/>
      <c r="C9" s="70"/>
      <c r="D9" s="71"/>
      <c r="E9" s="72"/>
      <c r="F9" s="71"/>
      <c r="G9" s="73"/>
      <c r="H9" s="71"/>
      <c r="R9" t="s">
        <v>24</v>
      </c>
    </row>
    <row r="10" spans="2:18" x14ac:dyDescent="0.25">
      <c r="B10" s="69"/>
      <c r="C10" s="70"/>
      <c r="D10" s="71"/>
      <c r="E10" s="72"/>
      <c r="F10" s="71"/>
      <c r="G10" s="73"/>
      <c r="H10" s="71"/>
      <c r="R10" t="s">
        <v>25</v>
      </c>
    </row>
    <row r="11" spans="2:18" x14ac:dyDescent="0.25">
      <c r="B11" s="69"/>
      <c r="C11" s="70"/>
      <c r="D11" s="71"/>
      <c r="E11" s="72"/>
      <c r="F11" s="71"/>
      <c r="G11" s="73"/>
      <c r="H11" s="71"/>
      <c r="R11" t="s">
        <v>26</v>
      </c>
    </row>
    <row r="12" spans="2:18" x14ac:dyDescent="0.25">
      <c r="B12" s="69"/>
      <c r="C12" s="70"/>
      <c r="D12" s="71"/>
      <c r="E12" s="72"/>
      <c r="F12" s="71"/>
      <c r="G12" s="73"/>
      <c r="H12" s="71"/>
      <c r="R12" t="s">
        <v>27</v>
      </c>
    </row>
    <row r="13" spans="2:18" x14ac:dyDescent="0.25">
      <c r="B13" s="69"/>
      <c r="C13" s="70"/>
      <c r="D13" s="71"/>
      <c r="E13" s="72"/>
      <c r="F13" s="71"/>
      <c r="G13" s="73"/>
      <c r="H13" s="71"/>
      <c r="R13" t="s">
        <v>28</v>
      </c>
    </row>
    <row r="14" spans="2:18" x14ac:dyDescent="0.25">
      <c r="B14" s="69"/>
      <c r="C14" s="70"/>
      <c r="D14" s="71"/>
      <c r="E14" s="72"/>
      <c r="F14" s="71"/>
      <c r="G14" s="73"/>
      <c r="H14" s="71"/>
      <c r="R14" t="s">
        <v>29</v>
      </c>
    </row>
    <row r="15" spans="2:18" x14ac:dyDescent="0.25">
      <c r="B15" s="69"/>
      <c r="C15" s="70"/>
      <c r="D15" s="71"/>
      <c r="E15" s="72"/>
      <c r="F15" s="71"/>
      <c r="G15" s="73"/>
      <c r="H15" s="71"/>
      <c r="R15" t="s">
        <v>30</v>
      </c>
    </row>
    <row r="16" spans="2:18" x14ac:dyDescent="0.25">
      <c r="B16" s="69"/>
      <c r="C16" s="70"/>
      <c r="D16" s="71"/>
      <c r="E16" s="72"/>
      <c r="F16" s="71"/>
      <c r="G16" s="73"/>
      <c r="H16" s="71"/>
      <c r="R16" t="s">
        <v>31</v>
      </c>
    </row>
    <row r="17" spans="2:18" x14ac:dyDescent="0.25">
      <c r="B17" s="69"/>
      <c r="C17" s="70"/>
      <c r="D17" s="71"/>
      <c r="E17" s="72"/>
      <c r="F17" s="71"/>
      <c r="G17" s="73"/>
      <c r="H17" s="71"/>
      <c r="R17" t="s">
        <v>32</v>
      </c>
    </row>
    <row r="18" spans="2:18" x14ac:dyDescent="0.25">
      <c r="B18" s="69"/>
      <c r="C18" s="70"/>
      <c r="D18" s="71"/>
      <c r="E18" s="72"/>
      <c r="F18" s="71"/>
      <c r="G18" s="73"/>
      <c r="H18" s="71"/>
      <c r="R18" s="49" t="s">
        <v>35</v>
      </c>
    </row>
    <row r="19" spans="2:18" x14ac:dyDescent="0.25">
      <c r="B19" s="69"/>
      <c r="C19" s="70"/>
      <c r="D19" s="71"/>
      <c r="E19" s="72"/>
      <c r="F19" s="71"/>
      <c r="G19" s="73"/>
      <c r="H19" s="71"/>
      <c r="R19" t="s">
        <v>34</v>
      </c>
    </row>
    <row r="20" spans="2:18" x14ac:dyDescent="0.25">
      <c r="B20" s="69"/>
      <c r="C20" s="70"/>
      <c r="D20" s="71"/>
      <c r="E20" s="72"/>
      <c r="F20" s="71"/>
      <c r="G20" s="73"/>
      <c r="H20" s="71"/>
      <c r="R20" t="s">
        <v>33</v>
      </c>
    </row>
    <row r="21" spans="2:18" x14ac:dyDescent="0.25">
      <c r="B21" s="69"/>
      <c r="C21" s="70"/>
      <c r="D21" s="71"/>
      <c r="E21" s="72"/>
      <c r="F21" s="71"/>
      <c r="G21" s="73"/>
      <c r="H21" s="71"/>
    </row>
    <row r="22" spans="2:18" x14ac:dyDescent="0.25">
      <c r="B22" s="69"/>
      <c r="C22" s="70"/>
      <c r="D22" s="71"/>
      <c r="E22" s="72"/>
      <c r="F22" s="71"/>
      <c r="G22" s="73"/>
      <c r="H22" s="71"/>
    </row>
    <row r="23" spans="2:18" x14ac:dyDescent="0.25">
      <c r="B23" s="69"/>
      <c r="C23" s="70"/>
      <c r="D23" s="71"/>
      <c r="E23" s="72"/>
      <c r="F23" s="71"/>
      <c r="G23" s="73"/>
      <c r="H23" s="71"/>
    </row>
    <row r="24" spans="2:18" x14ac:dyDescent="0.25">
      <c r="B24" s="69"/>
      <c r="C24" s="70"/>
      <c r="D24" s="71"/>
      <c r="E24" s="72"/>
      <c r="F24" s="71"/>
      <c r="G24" s="73"/>
      <c r="H24" s="71"/>
    </row>
    <row r="25" spans="2:18" x14ac:dyDescent="0.25">
      <c r="B25" s="69"/>
      <c r="C25" s="70"/>
      <c r="D25" s="71"/>
      <c r="E25" s="72"/>
      <c r="F25" s="71"/>
      <c r="G25" s="73"/>
      <c r="H25" s="71"/>
    </row>
    <row r="26" spans="2:18" x14ac:dyDescent="0.25">
      <c r="B26" s="69"/>
      <c r="C26" s="70"/>
      <c r="D26" s="71"/>
      <c r="E26" s="72"/>
      <c r="F26" s="71"/>
      <c r="G26" s="73"/>
      <c r="H26" s="71"/>
    </row>
    <row r="27" spans="2:18" x14ac:dyDescent="0.25">
      <c r="B27" s="69"/>
      <c r="C27" s="70"/>
      <c r="D27" s="71"/>
      <c r="E27" s="72"/>
      <c r="F27" s="71"/>
      <c r="G27" s="73"/>
      <c r="H27" s="71"/>
    </row>
    <row r="28" spans="2:18" x14ac:dyDescent="0.25">
      <c r="B28" s="69"/>
      <c r="C28" s="70"/>
      <c r="D28" s="71"/>
      <c r="E28" s="72"/>
      <c r="F28" s="71"/>
      <c r="G28" s="73"/>
      <c r="H28" s="71"/>
    </row>
    <row r="29" spans="2:18" x14ac:dyDescent="0.25">
      <c r="B29" s="69"/>
      <c r="C29" s="70"/>
      <c r="D29" s="71"/>
      <c r="E29" s="72"/>
      <c r="F29" s="71"/>
      <c r="G29" s="73"/>
      <c r="H29" s="71"/>
    </row>
    <row r="30" spans="2:18" x14ac:dyDescent="0.25">
      <c r="B30" s="69"/>
      <c r="C30" s="70"/>
      <c r="D30" s="71"/>
      <c r="E30" s="72"/>
      <c r="F30" s="71"/>
      <c r="G30" s="73"/>
      <c r="H30" s="71"/>
    </row>
    <row r="31" spans="2:18" x14ac:dyDescent="0.25">
      <c r="B31" s="69"/>
      <c r="C31" s="70"/>
      <c r="D31" s="71"/>
      <c r="E31" s="72"/>
      <c r="F31" s="71"/>
      <c r="G31" s="73"/>
      <c r="H31" s="71"/>
    </row>
    <row r="32" spans="2:18" x14ac:dyDescent="0.25">
      <c r="B32" s="69"/>
      <c r="C32" s="70"/>
      <c r="D32" s="71"/>
      <c r="E32" s="72"/>
      <c r="F32" s="71"/>
      <c r="G32" s="73"/>
      <c r="H32" s="71"/>
    </row>
    <row r="33" spans="2:8" x14ac:dyDescent="0.25">
      <c r="B33" s="69"/>
      <c r="C33" s="70"/>
      <c r="D33" s="71"/>
      <c r="E33" s="72"/>
      <c r="F33" s="71"/>
      <c r="G33" s="73"/>
      <c r="H33" s="71"/>
    </row>
    <row r="34" spans="2:8" x14ac:dyDescent="0.25">
      <c r="B34" s="69"/>
      <c r="C34" s="70"/>
      <c r="D34" s="71"/>
      <c r="E34" s="72"/>
      <c r="F34" s="71"/>
      <c r="G34" s="79"/>
      <c r="H34" s="71"/>
    </row>
    <row r="35" spans="2:8" x14ac:dyDescent="0.25">
      <c r="B35" s="69"/>
      <c r="C35" s="70"/>
      <c r="D35" s="71"/>
      <c r="E35" s="72"/>
      <c r="F35" s="71"/>
      <c r="G35" s="73"/>
      <c r="H35" s="71"/>
    </row>
    <row r="36" spans="2:8" x14ac:dyDescent="0.25">
      <c r="B36" s="74"/>
      <c r="C36" s="75"/>
      <c r="D36" s="76"/>
      <c r="E36" s="78"/>
      <c r="F36" s="76"/>
      <c r="G36" s="73"/>
      <c r="H36" s="76"/>
    </row>
    <row r="37" spans="2:8" x14ac:dyDescent="0.25">
      <c r="B37" s="43" t="s">
        <v>20</v>
      </c>
      <c r="C37" s="44"/>
      <c r="D37" s="44"/>
      <c r="E37" s="45">
        <f>SUBTOTAL(109,Tabla1[ENTRADA])</f>
        <v>0</v>
      </c>
      <c r="F37" s="44">
        <f>SUBTOTAL(109,Tabla1[SALIDA])</f>
        <v>0</v>
      </c>
      <c r="G37" s="48" t="e">
        <f>SUBTOTAL(101,Tabla1[SALDO])</f>
        <v>#DIV/0!</v>
      </c>
      <c r="H37" s="44"/>
    </row>
    <row r="41" spans="2:8" x14ac:dyDescent="0.25">
      <c r="B41" s="83" t="s">
        <v>18</v>
      </c>
      <c r="C41" s="83"/>
      <c r="E41" s="90" t="s">
        <v>19</v>
      </c>
      <c r="F41" s="85"/>
      <c r="G41" s="85"/>
    </row>
    <row r="42" spans="2:8" x14ac:dyDescent="0.25">
      <c r="B42" s="91" t="s">
        <v>17</v>
      </c>
      <c r="C42" s="84"/>
    </row>
  </sheetData>
  <mergeCells count="4">
    <mergeCell ref="B1:G1"/>
    <mergeCell ref="B41:C41"/>
    <mergeCell ref="B42:C42"/>
    <mergeCell ref="E41:G41"/>
  </mergeCells>
  <pageMargins left="0.7" right="0.7" top="0.75" bottom="0.75" header="0.3" footer="0.3"/>
  <pageSetup scale="53" orientation="landscape" horizontalDpi="360" verticalDpi="360" r:id="rId1"/>
  <rowBreaks count="1" manualBreakCount="1">
    <brk id="1" max="7" man="1"/>
  </rowBreaks>
  <colBreaks count="1" manualBreakCount="1">
    <brk id="1" max="43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O72"/>
  <sheetViews>
    <sheetView workbookViewId="0">
      <selection activeCell="J6" sqref="J6"/>
    </sheetView>
  </sheetViews>
  <sheetFormatPr baseColWidth="10" defaultColWidth="11" defaultRowHeight="15" x14ac:dyDescent="0.25"/>
  <cols>
    <col min="1" max="1" width="3.28515625" customWidth="1"/>
    <col min="2" max="2" width="15.7109375" customWidth="1"/>
    <col min="4" max="4" width="19.28515625" customWidth="1"/>
    <col min="6" max="6" width="15" customWidth="1"/>
  </cols>
  <sheetData>
    <row r="2" spans="2:15" x14ac:dyDescent="0.25">
      <c r="C2" s="89" t="s">
        <v>15</v>
      </c>
      <c r="D2" s="89"/>
      <c r="E2" s="89"/>
      <c r="F2" s="89"/>
    </row>
    <row r="4" spans="2:15" x14ac:dyDescent="0.25">
      <c r="B4" s="1" t="s">
        <v>0</v>
      </c>
      <c r="C4" s="1" t="s">
        <v>1</v>
      </c>
      <c r="D4" s="34" t="s">
        <v>11</v>
      </c>
      <c r="E4" s="33" t="s">
        <v>8</v>
      </c>
      <c r="F4" s="33" t="s">
        <v>10</v>
      </c>
      <c r="G4" s="34" t="s">
        <v>9</v>
      </c>
      <c r="H4" s="1" t="s">
        <v>5</v>
      </c>
    </row>
    <row r="5" spans="2:15" x14ac:dyDescent="0.25">
      <c r="B5" s="2"/>
      <c r="C5" s="3"/>
      <c r="D5" s="4"/>
      <c r="E5" s="37"/>
      <c r="F5" s="36"/>
      <c r="G5" s="6"/>
      <c r="H5" s="5">
        <f>E5-F5-G5</f>
        <v>0</v>
      </c>
    </row>
    <row r="6" spans="2:15" x14ac:dyDescent="0.25">
      <c r="B6" s="2"/>
      <c r="C6" s="3"/>
      <c r="D6" s="32"/>
      <c r="E6" s="7"/>
      <c r="F6" s="7"/>
      <c r="G6" s="8"/>
      <c r="H6" s="5">
        <f t="shared" ref="H6:H36" si="0">E6-F6-G6</f>
        <v>0</v>
      </c>
      <c r="O6" s="20"/>
    </row>
    <row r="7" spans="2:15" x14ac:dyDescent="0.25">
      <c r="B7" s="2"/>
      <c r="C7" s="3"/>
      <c r="D7" s="32"/>
      <c r="E7" s="7"/>
      <c r="F7" s="7"/>
      <c r="G7" s="8"/>
      <c r="H7" s="5">
        <f t="shared" si="0"/>
        <v>0</v>
      </c>
    </row>
    <row r="8" spans="2:15" x14ac:dyDescent="0.25">
      <c r="B8" s="2"/>
      <c r="C8" s="3"/>
      <c r="D8" s="32"/>
      <c r="E8" s="7"/>
      <c r="F8" s="7"/>
      <c r="G8" s="8"/>
      <c r="H8" s="5">
        <f t="shared" si="0"/>
        <v>0</v>
      </c>
    </row>
    <row r="9" spans="2:15" x14ac:dyDescent="0.25">
      <c r="B9" s="2"/>
      <c r="C9" s="3"/>
      <c r="D9" s="32"/>
      <c r="E9" s="7"/>
      <c r="F9" s="7"/>
      <c r="G9" s="8"/>
      <c r="H9" s="5">
        <f t="shared" si="0"/>
        <v>0</v>
      </c>
    </row>
    <row r="10" spans="2:15" x14ac:dyDescent="0.25">
      <c r="B10" s="2"/>
      <c r="C10" s="3"/>
      <c r="D10" s="4"/>
      <c r="E10" s="5"/>
      <c r="F10" s="5"/>
      <c r="G10" s="10"/>
      <c r="H10" s="5">
        <f t="shared" si="0"/>
        <v>0</v>
      </c>
    </row>
    <row r="11" spans="2:15" x14ac:dyDescent="0.25">
      <c r="B11" s="2"/>
      <c r="C11" s="3"/>
      <c r="D11" s="32"/>
      <c r="E11" s="7"/>
      <c r="F11" s="7"/>
      <c r="G11" s="8"/>
      <c r="H11" s="5">
        <f t="shared" si="0"/>
        <v>0</v>
      </c>
    </row>
    <row r="12" spans="2:15" x14ac:dyDescent="0.25">
      <c r="B12" s="2"/>
      <c r="C12" s="3"/>
      <c r="D12" s="32"/>
      <c r="E12" s="7"/>
      <c r="F12" s="7"/>
      <c r="G12" s="8"/>
      <c r="H12" s="5">
        <f t="shared" si="0"/>
        <v>0</v>
      </c>
    </row>
    <row r="13" spans="2:15" x14ac:dyDescent="0.25">
      <c r="B13" s="2"/>
      <c r="C13" s="3"/>
      <c r="D13" s="32"/>
      <c r="E13" s="9"/>
      <c r="F13" s="9"/>
      <c r="G13" s="8"/>
      <c r="H13" s="5">
        <f t="shared" si="0"/>
        <v>0</v>
      </c>
    </row>
    <row r="14" spans="2:15" x14ac:dyDescent="0.25">
      <c r="B14" s="2"/>
      <c r="C14" s="3"/>
      <c r="D14" s="4"/>
      <c r="E14" s="5"/>
      <c r="F14" s="5"/>
      <c r="G14" s="10"/>
      <c r="H14" s="5">
        <f t="shared" si="0"/>
        <v>0</v>
      </c>
    </row>
    <row r="15" spans="2:15" x14ac:dyDescent="0.25">
      <c r="B15" s="2"/>
      <c r="C15" s="3"/>
      <c r="D15" s="32"/>
      <c r="E15" s="7"/>
      <c r="F15" s="7"/>
      <c r="G15" s="8"/>
      <c r="H15" s="5">
        <f t="shared" si="0"/>
        <v>0</v>
      </c>
    </row>
    <row r="16" spans="2:15" x14ac:dyDescent="0.25">
      <c r="B16" s="2"/>
      <c r="C16" s="3"/>
      <c r="D16" s="32"/>
      <c r="E16" s="7"/>
      <c r="F16" s="7"/>
      <c r="G16" s="8"/>
      <c r="H16" s="5">
        <f t="shared" si="0"/>
        <v>0</v>
      </c>
    </row>
    <row r="17" spans="2:9" x14ac:dyDescent="0.25">
      <c r="B17" s="2"/>
      <c r="C17" s="3"/>
      <c r="D17" s="4"/>
      <c r="E17" s="11"/>
      <c r="F17" s="11"/>
      <c r="G17" s="10"/>
      <c r="H17" s="5">
        <f t="shared" si="0"/>
        <v>0</v>
      </c>
      <c r="I17" s="12"/>
    </row>
    <row r="18" spans="2:9" x14ac:dyDescent="0.25">
      <c r="B18" s="2"/>
      <c r="C18" s="3"/>
      <c r="D18" s="32"/>
      <c r="E18" s="7"/>
      <c r="F18" s="7"/>
      <c r="G18" s="8"/>
      <c r="H18" s="5">
        <f t="shared" si="0"/>
        <v>0</v>
      </c>
    </row>
    <row r="19" spans="2:9" x14ac:dyDescent="0.25">
      <c r="B19" s="2"/>
      <c r="C19" s="3"/>
      <c r="D19" s="4"/>
      <c r="E19" s="5"/>
      <c r="F19" s="5"/>
      <c r="G19" s="10"/>
      <c r="H19" s="5">
        <f t="shared" si="0"/>
        <v>0</v>
      </c>
    </row>
    <row r="20" spans="2:9" x14ac:dyDescent="0.25">
      <c r="B20" s="2"/>
      <c r="C20" s="3"/>
      <c r="D20" s="32"/>
      <c r="E20" s="7"/>
      <c r="F20" s="7"/>
      <c r="G20" s="8"/>
      <c r="H20" s="5">
        <f t="shared" si="0"/>
        <v>0</v>
      </c>
    </row>
    <row r="21" spans="2:9" x14ac:dyDescent="0.25">
      <c r="B21" s="2"/>
      <c r="C21" s="3"/>
      <c r="D21" s="32"/>
      <c r="E21" s="7"/>
      <c r="F21" s="7"/>
      <c r="G21" s="13"/>
      <c r="H21" s="5">
        <f t="shared" si="0"/>
        <v>0</v>
      </c>
    </row>
    <row r="22" spans="2:9" x14ac:dyDescent="0.25">
      <c r="B22" s="2"/>
      <c r="C22" s="3"/>
      <c r="D22" s="2"/>
      <c r="E22" s="11"/>
      <c r="F22" s="11"/>
      <c r="G22" s="14"/>
      <c r="H22" s="5">
        <f t="shared" si="0"/>
        <v>0</v>
      </c>
    </row>
    <row r="23" spans="2:9" x14ac:dyDescent="0.25">
      <c r="B23" s="2"/>
      <c r="C23" s="3"/>
      <c r="D23" s="15"/>
      <c r="E23" s="9"/>
      <c r="F23" s="9"/>
      <c r="G23" s="16"/>
      <c r="H23" s="5">
        <f t="shared" si="0"/>
        <v>0</v>
      </c>
    </row>
    <row r="24" spans="2:9" x14ac:dyDescent="0.25">
      <c r="B24" s="2"/>
      <c r="C24" s="3"/>
      <c r="D24" s="15"/>
      <c r="E24" s="7"/>
      <c r="F24" s="7"/>
      <c r="G24" s="16"/>
      <c r="H24" s="5">
        <f t="shared" si="0"/>
        <v>0</v>
      </c>
    </row>
    <row r="25" spans="2:9" x14ac:dyDescent="0.25">
      <c r="B25" s="2"/>
      <c r="C25" s="3"/>
      <c r="D25" s="2"/>
      <c r="E25" s="5"/>
      <c r="F25" s="5"/>
      <c r="G25" s="14"/>
      <c r="H25" s="5">
        <f t="shared" si="0"/>
        <v>0</v>
      </c>
    </row>
    <row r="26" spans="2:9" x14ac:dyDescent="0.25">
      <c r="B26" s="2"/>
      <c r="C26" s="3"/>
      <c r="D26" s="15"/>
      <c r="E26" s="7"/>
      <c r="F26" s="7"/>
      <c r="G26" s="16"/>
      <c r="H26" s="5">
        <f t="shared" si="0"/>
        <v>0</v>
      </c>
    </row>
    <row r="27" spans="2:9" x14ac:dyDescent="0.25">
      <c r="B27" s="2"/>
      <c r="C27" s="3"/>
      <c r="D27" s="15"/>
      <c r="E27" s="7"/>
      <c r="F27" s="7"/>
      <c r="G27" s="16"/>
      <c r="H27" s="5">
        <f t="shared" si="0"/>
        <v>0</v>
      </c>
    </row>
    <row r="28" spans="2:9" x14ac:dyDescent="0.25">
      <c r="B28" s="2"/>
      <c r="C28" s="3"/>
      <c r="D28" s="15"/>
      <c r="E28" s="7"/>
      <c r="F28" s="7"/>
      <c r="G28" s="16"/>
      <c r="H28" s="5">
        <f t="shared" si="0"/>
        <v>0</v>
      </c>
    </row>
    <row r="29" spans="2:9" x14ac:dyDescent="0.25">
      <c r="B29" s="2"/>
      <c r="C29" s="3"/>
      <c r="D29" s="15"/>
      <c r="E29" s="7"/>
      <c r="F29" s="7"/>
      <c r="G29" s="16"/>
      <c r="H29" s="5">
        <f t="shared" si="0"/>
        <v>0</v>
      </c>
    </row>
    <row r="30" spans="2:9" x14ac:dyDescent="0.25">
      <c r="B30" s="2"/>
      <c r="C30" s="3"/>
      <c r="D30" s="15"/>
      <c r="E30" s="7"/>
      <c r="F30" s="7"/>
      <c r="G30" s="16"/>
      <c r="H30" s="5">
        <f t="shared" si="0"/>
        <v>0</v>
      </c>
    </row>
    <row r="31" spans="2:9" x14ac:dyDescent="0.25">
      <c r="B31" s="2"/>
      <c r="C31" s="3"/>
      <c r="D31" s="15"/>
      <c r="E31" s="7"/>
      <c r="F31" s="7"/>
      <c r="G31" s="16"/>
      <c r="H31" s="5">
        <f t="shared" si="0"/>
        <v>0</v>
      </c>
    </row>
    <row r="32" spans="2:9" x14ac:dyDescent="0.25">
      <c r="B32" s="2"/>
      <c r="C32" s="3"/>
      <c r="D32" s="15"/>
      <c r="E32" s="7"/>
      <c r="F32" s="7"/>
      <c r="G32" s="16"/>
      <c r="H32" s="5">
        <f t="shared" si="0"/>
        <v>0</v>
      </c>
    </row>
    <row r="33" spans="2:8" x14ac:dyDescent="0.25">
      <c r="B33" s="2"/>
      <c r="C33" s="3"/>
      <c r="D33" s="15"/>
      <c r="E33" s="7"/>
      <c r="F33" s="7"/>
      <c r="G33" s="16"/>
      <c r="H33" s="5">
        <f t="shared" si="0"/>
        <v>0</v>
      </c>
    </row>
    <row r="34" spans="2:8" x14ac:dyDescent="0.25">
      <c r="B34" s="2"/>
      <c r="C34" s="3"/>
      <c r="D34" s="15"/>
      <c r="E34" s="7"/>
      <c r="F34" s="7"/>
      <c r="G34" s="16"/>
      <c r="H34" s="5">
        <f t="shared" si="0"/>
        <v>0</v>
      </c>
    </row>
    <row r="35" spans="2:8" x14ac:dyDescent="0.25">
      <c r="B35" s="2"/>
      <c r="C35" s="3"/>
      <c r="D35" s="15"/>
      <c r="E35" s="7"/>
      <c r="F35" s="7"/>
      <c r="G35" s="16"/>
      <c r="H35" s="5">
        <f t="shared" si="0"/>
        <v>0</v>
      </c>
    </row>
    <row r="36" spans="2:8" x14ac:dyDescent="0.25">
      <c r="B36" s="2"/>
      <c r="C36" s="3"/>
      <c r="D36" s="15"/>
      <c r="E36" s="7"/>
      <c r="F36" s="7"/>
      <c r="G36" s="16"/>
      <c r="H36" s="5">
        <f t="shared" si="0"/>
        <v>0</v>
      </c>
    </row>
    <row r="37" spans="2:8" x14ac:dyDescent="0.25">
      <c r="B37" s="2"/>
      <c r="C37" s="3"/>
      <c r="D37" s="15"/>
      <c r="E37" s="7"/>
      <c r="F37" s="7"/>
      <c r="G37" s="35" t="s">
        <v>14</v>
      </c>
      <c r="H37" s="5">
        <f>SUM(H5:H36)</f>
        <v>0</v>
      </c>
    </row>
    <row r="38" spans="2:8" x14ac:dyDescent="0.25">
      <c r="B38" s="86"/>
      <c r="C38" s="86"/>
      <c r="D38" s="86"/>
      <c r="E38" s="21"/>
      <c r="F38" s="21"/>
      <c r="G38" s="22"/>
      <c r="H38" s="20"/>
    </row>
    <row r="39" spans="2:8" x14ac:dyDescent="0.25">
      <c r="B39" s="86"/>
      <c r="C39" s="86"/>
      <c r="D39" s="86"/>
      <c r="E39" s="20"/>
      <c r="F39" s="20"/>
      <c r="H39" s="20"/>
    </row>
    <row r="40" spans="2:8" x14ac:dyDescent="0.25">
      <c r="B40" s="86"/>
      <c r="C40" s="86"/>
      <c r="D40" s="86"/>
      <c r="E40" s="23"/>
      <c r="F40" s="88"/>
      <c r="G40" s="88"/>
      <c r="H40" s="88"/>
    </row>
    <row r="41" spans="2:8" x14ac:dyDescent="0.25">
      <c r="B41" s="87" t="s">
        <v>13</v>
      </c>
      <c r="C41" s="87"/>
      <c r="D41" s="87"/>
      <c r="E41" s="21"/>
      <c r="F41" s="87" t="s">
        <v>12</v>
      </c>
      <c r="G41" s="87"/>
      <c r="H41" s="87"/>
    </row>
    <row r="42" spans="2:8" x14ac:dyDescent="0.25">
      <c r="B42" s="19"/>
      <c r="C42" s="18"/>
      <c r="D42" s="19"/>
      <c r="E42" s="23"/>
      <c r="F42" s="23"/>
      <c r="H42" s="20"/>
    </row>
    <row r="43" spans="2:8" x14ac:dyDescent="0.25">
      <c r="B43" s="19"/>
      <c r="C43" s="18"/>
      <c r="D43" s="19"/>
      <c r="E43" s="20"/>
      <c r="F43" s="20"/>
      <c r="H43" s="20"/>
    </row>
    <row r="44" spans="2:8" x14ac:dyDescent="0.25">
      <c r="B44" s="17"/>
      <c r="C44" s="18"/>
      <c r="D44" s="17"/>
      <c r="E44" s="21"/>
      <c r="F44" s="21"/>
      <c r="G44" s="22"/>
      <c r="H44" s="20"/>
    </row>
    <row r="45" spans="2:8" x14ac:dyDescent="0.25">
      <c r="B45" s="17"/>
      <c r="C45" s="18"/>
      <c r="D45" s="17"/>
      <c r="E45" s="24"/>
      <c r="F45" s="24"/>
      <c r="G45" s="22"/>
      <c r="H45" s="20"/>
    </row>
    <row r="46" spans="2:8" x14ac:dyDescent="0.25">
      <c r="B46" s="19"/>
      <c r="C46" s="18"/>
      <c r="D46" s="19"/>
      <c r="E46" s="20"/>
      <c r="F46" s="20"/>
      <c r="H46" s="20"/>
    </row>
    <row r="47" spans="2:8" x14ac:dyDescent="0.25">
      <c r="B47" s="19"/>
      <c r="C47" s="18"/>
      <c r="D47" s="19"/>
      <c r="E47" s="20"/>
      <c r="F47" s="20"/>
      <c r="H47" s="20"/>
    </row>
    <row r="48" spans="2:8" x14ac:dyDescent="0.25">
      <c r="B48" s="19"/>
      <c r="C48" s="18"/>
      <c r="D48" s="19"/>
      <c r="E48" s="23"/>
      <c r="F48" s="23"/>
      <c r="H48" s="20"/>
    </row>
    <row r="49" spans="2:8" x14ac:dyDescent="0.25">
      <c r="B49" s="19"/>
      <c r="C49" s="18"/>
      <c r="D49" s="19"/>
      <c r="E49" s="20"/>
      <c r="F49" s="20"/>
      <c r="H49" s="20"/>
    </row>
    <row r="50" spans="2:8" x14ac:dyDescent="0.25">
      <c r="B50" s="19"/>
      <c r="C50" s="18"/>
      <c r="D50" s="19"/>
      <c r="E50" s="20"/>
      <c r="F50" s="20"/>
      <c r="H50" s="20"/>
    </row>
    <row r="51" spans="2:8" x14ac:dyDescent="0.25">
      <c r="B51" s="19"/>
      <c r="C51" s="18"/>
      <c r="D51" s="19"/>
      <c r="E51" s="20"/>
      <c r="F51" s="20"/>
      <c r="H51" s="20"/>
    </row>
    <row r="52" spans="2:8" x14ac:dyDescent="0.25">
      <c r="B52" s="19"/>
      <c r="C52" s="18"/>
      <c r="D52" s="19"/>
      <c r="E52" s="20"/>
      <c r="F52" s="20"/>
      <c r="H52" s="20"/>
    </row>
    <row r="53" spans="2:8" x14ac:dyDescent="0.25">
      <c r="B53" s="19"/>
      <c r="C53" s="18"/>
      <c r="D53" s="19"/>
      <c r="E53" s="23"/>
      <c r="F53" s="23"/>
      <c r="H53" s="20"/>
    </row>
    <row r="54" spans="2:8" x14ac:dyDescent="0.25">
      <c r="B54" s="19"/>
      <c r="C54" s="18"/>
      <c r="D54" s="19"/>
      <c r="E54" s="20"/>
      <c r="F54" s="20"/>
      <c r="H54" s="20"/>
    </row>
    <row r="55" spans="2:8" x14ac:dyDescent="0.25">
      <c r="B55" s="19"/>
      <c r="C55" s="18"/>
      <c r="D55" s="19"/>
      <c r="E55" s="20"/>
      <c r="F55" s="20"/>
      <c r="H55" s="20"/>
    </row>
    <row r="56" spans="2:8" x14ac:dyDescent="0.25">
      <c r="B56" s="19"/>
      <c r="C56" s="18"/>
      <c r="D56" s="25"/>
      <c r="E56" s="26"/>
      <c r="F56" s="26"/>
      <c r="G56" s="27"/>
      <c r="H56" s="20"/>
    </row>
    <row r="57" spans="2:8" x14ac:dyDescent="0.25">
      <c r="B57" s="19"/>
      <c r="C57" s="18"/>
      <c r="D57" s="28"/>
      <c r="E57" s="29"/>
      <c r="F57" s="29"/>
      <c r="G57" s="30"/>
      <c r="H57" s="20"/>
    </row>
    <row r="58" spans="2:8" x14ac:dyDescent="0.25">
      <c r="B58" s="19"/>
      <c r="C58" s="18"/>
      <c r="D58" s="28"/>
      <c r="E58" s="31"/>
      <c r="F58" s="31"/>
      <c r="G58" s="30"/>
      <c r="H58" s="20"/>
    </row>
    <row r="59" spans="2:8" x14ac:dyDescent="0.25">
      <c r="B59" s="19"/>
      <c r="C59" s="18"/>
      <c r="D59" s="28"/>
      <c r="E59" s="29"/>
      <c r="F59" s="29"/>
      <c r="G59" s="30"/>
      <c r="H59" s="20"/>
    </row>
    <row r="60" spans="2:8" x14ac:dyDescent="0.25">
      <c r="B60" s="19"/>
      <c r="C60" s="18"/>
      <c r="D60" s="19"/>
      <c r="E60" s="23"/>
      <c r="F60" s="23"/>
      <c r="H60" s="20"/>
    </row>
    <row r="61" spans="2:8" x14ac:dyDescent="0.25">
      <c r="B61" s="19"/>
      <c r="C61" s="18"/>
      <c r="D61" s="19"/>
      <c r="E61" s="23"/>
      <c r="F61" s="23"/>
      <c r="H61" s="20"/>
    </row>
    <row r="62" spans="2:8" x14ac:dyDescent="0.25">
      <c r="B62" s="19"/>
      <c r="C62" s="18"/>
      <c r="D62" s="28"/>
      <c r="E62" s="20"/>
      <c r="F62" s="20"/>
      <c r="H62" s="20"/>
    </row>
    <row r="63" spans="2:8" x14ac:dyDescent="0.25">
      <c r="B63" s="19"/>
      <c r="C63" s="18"/>
      <c r="D63" s="28"/>
      <c r="E63" s="20"/>
      <c r="F63" s="20"/>
      <c r="H63" s="20"/>
    </row>
    <row r="64" spans="2:8" x14ac:dyDescent="0.25">
      <c r="B64" s="19"/>
      <c r="C64" s="18"/>
      <c r="D64" s="28"/>
      <c r="E64" s="20"/>
      <c r="F64" s="20"/>
      <c r="H64" s="20"/>
    </row>
    <row r="65" spans="2:8" x14ac:dyDescent="0.25">
      <c r="B65" s="19"/>
      <c r="C65" s="18"/>
      <c r="D65" s="28"/>
      <c r="E65" s="20"/>
      <c r="F65" s="20"/>
      <c r="H65" s="20"/>
    </row>
    <row r="66" spans="2:8" x14ac:dyDescent="0.25">
      <c r="B66" s="19"/>
      <c r="C66" s="18"/>
      <c r="D66" s="28"/>
      <c r="E66" s="20"/>
      <c r="F66" s="20"/>
      <c r="H66" s="20"/>
    </row>
    <row r="67" spans="2:8" x14ac:dyDescent="0.25">
      <c r="B67" s="19"/>
      <c r="C67" s="18"/>
      <c r="D67" s="28"/>
      <c r="E67" s="20"/>
      <c r="F67" s="20"/>
      <c r="H67" s="20"/>
    </row>
    <row r="68" spans="2:8" x14ac:dyDescent="0.25">
      <c r="B68" s="19"/>
      <c r="C68" s="18"/>
      <c r="D68" s="28"/>
      <c r="E68" s="20"/>
      <c r="F68" s="20"/>
      <c r="H68" s="20"/>
    </row>
    <row r="69" spans="2:8" x14ac:dyDescent="0.25">
      <c r="B69" s="19"/>
      <c r="C69" s="18"/>
      <c r="D69" s="28"/>
      <c r="E69" s="20"/>
      <c r="F69" s="20"/>
      <c r="H69" s="20"/>
    </row>
    <row r="70" spans="2:8" x14ac:dyDescent="0.25">
      <c r="B70" s="19"/>
      <c r="C70" s="18"/>
      <c r="D70" s="28"/>
      <c r="E70" s="20"/>
      <c r="F70" s="20"/>
      <c r="H70" s="20"/>
    </row>
    <row r="71" spans="2:8" x14ac:dyDescent="0.25">
      <c r="H71" s="20"/>
    </row>
    <row r="72" spans="2:8" x14ac:dyDescent="0.25">
      <c r="H72" s="20"/>
    </row>
  </sheetData>
  <mergeCells count="5">
    <mergeCell ref="B38:D40"/>
    <mergeCell ref="B41:D41"/>
    <mergeCell ref="F41:H41"/>
    <mergeCell ref="F40:H40"/>
    <mergeCell ref="C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9FDF-037C-4190-8B55-99C910F4B60D}">
  <sheetPr codeName="Hoja3"/>
  <dimension ref="B3:C22"/>
  <sheetViews>
    <sheetView topLeftCell="A5" workbookViewId="0">
      <selection activeCell="E5" sqref="E5"/>
    </sheetView>
  </sheetViews>
  <sheetFormatPr baseColWidth="10" defaultRowHeight="15" x14ac:dyDescent="0.25"/>
  <cols>
    <col min="2" max="2" width="81.85546875" bestFit="1" customWidth="1"/>
    <col min="3" max="3" width="44.85546875" bestFit="1" customWidth="1"/>
  </cols>
  <sheetData>
    <row r="3" spans="2:3" ht="15.75" thickBot="1" x14ac:dyDescent="0.3"/>
    <row r="4" spans="2:3" ht="18.75" thickBot="1" x14ac:dyDescent="0.3">
      <c r="B4" s="50" t="s">
        <v>37</v>
      </c>
      <c r="C4" s="51" t="s">
        <v>38</v>
      </c>
    </row>
    <row r="5" spans="2:3" ht="15.75" x14ac:dyDescent="0.25">
      <c r="B5" s="52" t="s">
        <v>39</v>
      </c>
      <c r="C5" s="53">
        <v>4380.09</v>
      </c>
    </row>
    <row r="6" spans="2:3" ht="15.75" x14ac:dyDescent="0.25">
      <c r="B6" s="52" t="s">
        <v>40</v>
      </c>
      <c r="C6" s="53">
        <v>6589.25</v>
      </c>
    </row>
    <row r="7" spans="2:3" ht="15.75" x14ac:dyDescent="0.25">
      <c r="B7" s="52"/>
      <c r="C7" s="53">
        <v>0</v>
      </c>
    </row>
    <row r="8" spans="2:3" ht="15.75" x14ac:dyDescent="0.25">
      <c r="B8" s="52"/>
      <c r="C8" s="53">
        <v>0</v>
      </c>
    </row>
    <row r="9" spans="2:3" ht="15.75" x14ac:dyDescent="0.25">
      <c r="B9" s="54" t="s">
        <v>41</v>
      </c>
      <c r="C9" s="55">
        <f>SUM(C5:C8)</f>
        <v>10969.34</v>
      </c>
    </row>
    <row r="10" spans="2:3" ht="15.75" x14ac:dyDescent="0.25">
      <c r="B10" s="56" t="s">
        <v>42</v>
      </c>
      <c r="C10" s="55">
        <v>0</v>
      </c>
    </row>
    <row r="11" spans="2:3" ht="15.75" x14ac:dyDescent="0.25">
      <c r="B11" s="56" t="s">
        <v>43</v>
      </c>
      <c r="C11" s="55">
        <v>2045.4</v>
      </c>
    </row>
    <row r="12" spans="2:3" ht="15.75" x14ac:dyDescent="0.25">
      <c r="B12" s="56" t="s">
        <v>44</v>
      </c>
      <c r="C12" s="55">
        <v>1220</v>
      </c>
    </row>
    <row r="13" spans="2:3" ht="15.75" x14ac:dyDescent="0.25">
      <c r="B13" s="56" t="s">
        <v>45</v>
      </c>
      <c r="C13" s="55">
        <v>0</v>
      </c>
    </row>
    <row r="14" spans="2:3" ht="15.75" x14ac:dyDescent="0.25">
      <c r="B14" s="56" t="s">
        <v>46</v>
      </c>
      <c r="C14" s="55">
        <v>1550.11</v>
      </c>
    </row>
    <row r="15" spans="2:3" ht="15.75" x14ac:dyDescent="0.25">
      <c r="B15" s="54" t="s">
        <v>47</v>
      </c>
      <c r="C15" s="55">
        <f>SUM(C11:C14)</f>
        <v>4815.51</v>
      </c>
    </row>
    <row r="16" spans="2:3" ht="16.5" thickBot="1" x14ac:dyDescent="0.3">
      <c r="B16" s="57" t="s">
        <v>48</v>
      </c>
      <c r="C16" s="58">
        <f>C9-C15</f>
        <v>6153.83</v>
      </c>
    </row>
    <row r="17" spans="2:3" ht="15.75" x14ac:dyDescent="0.25">
      <c r="B17" s="59"/>
      <c r="C17" s="60"/>
    </row>
    <row r="18" spans="2:3" ht="16.5" thickBot="1" x14ac:dyDescent="0.3">
      <c r="B18" s="59"/>
      <c r="C18" s="60"/>
    </row>
    <row r="19" spans="2:3" ht="16.5" thickBot="1" x14ac:dyDescent="0.3">
      <c r="B19" s="61" t="s">
        <v>49</v>
      </c>
      <c r="C19" s="62" t="s">
        <v>50</v>
      </c>
    </row>
    <row r="20" spans="2:3" ht="15.75" x14ac:dyDescent="0.25">
      <c r="B20" s="52" t="s">
        <v>51</v>
      </c>
      <c r="C20" s="63">
        <f>C16*5%</f>
        <v>307.69150000000002</v>
      </c>
    </row>
    <row r="21" spans="2:3" ht="15.75" x14ac:dyDescent="0.25">
      <c r="B21" s="56" t="s">
        <v>52</v>
      </c>
      <c r="C21" s="64">
        <f>(C16*40%)</f>
        <v>2461.5320000000002</v>
      </c>
    </row>
    <row r="22" spans="2:3" ht="16.5" thickBot="1" x14ac:dyDescent="0.3">
      <c r="B22" s="65" t="s">
        <v>53</v>
      </c>
      <c r="C22" s="66">
        <f>(C16*55%)</f>
        <v>3384.6065000000003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Resumen</vt:lpstr>
      <vt:lpstr>03-02-2025</vt:lpstr>
      <vt:lpstr>Estructura de Costos</vt:lpstr>
      <vt:lpstr>Resumen!Área_de_impresión</vt:lpstr>
    </vt:vector>
  </TitlesOfParts>
  <Company>Wi-Black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VIT</dc:creator>
  <cp:lastModifiedBy>Chris Eduard</cp:lastModifiedBy>
  <cp:lastPrinted>2025-03-17T14:44:19Z</cp:lastPrinted>
  <dcterms:created xsi:type="dcterms:W3CDTF">2025-02-04T00:13:51Z</dcterms:created>
  <dcterms:modified xsi:type="dcterms:W3CDTF">2025-05-05T20:02:19Z</dcterms:modified>
</cp:coreProperties>
</file>